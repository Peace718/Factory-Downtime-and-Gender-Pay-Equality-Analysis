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CE-PC\Desktop\"/>
    </mc:Choice>
  </mc:AlternateContent>
  <xr:revisionPtr revIDLastSave="0" documentId="13_ncr:1_{BF36D9E1-99C0-416E-A0C3-7DB623302398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Equality Table-Completed" sheetId="1" r:id="rId1"/>
    <sheet name="Pivot Summary" sheetId="3" r:id="rId2"/>
    <sheet name="Documentation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tc={1BD18259-64E8-4F05-8D4E-23149CEDE192}</author>
  </authors>
  <commentList>
    <comment ref="E1" authorId="0" shapeId="0" xr:uid="{1BD18259-64E8-4F05-8D4E-23149CEDE1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Conditional formatting added for better visual analysis </t>
      </text>
    </comment>
  </commentList>
</comments>
</file>

<file path=xl/sharedStrings.xml><?xml version="1.0" encoding="utf-8"?>
<sst xmlns="http://schemas.openxmlformats.org/spreadsheetml/2006/main" count="90" uniqueCount="28">
  <si>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</si>
  <si>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</si>
  <si>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</si>
  <si>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</si>
  <si>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</si>
  <si>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</si>
  <si>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</si>
  <si>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</si>
  <si>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</si>
  <si>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</si>
  <si>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</si>
  <si>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</si>
  <si>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</si>
  <si>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</si>
  <si>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</si>
  <si>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</si>
  <si>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</si>
  <si>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</si>
  <si>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</si>
  <si>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LEGEND</t>
  </si>
  <si>
    <t>COLOR</t>
  </si>
  <si>
    <t>Fair</t>
  </si>
  <si>
    <t>Unfair</t>
  </si>
  <si>
    <t>Highly Discriminative</t>
  </si>
  <si>
    <t>Grand Total</t>
  </si>
  <si>
    <t>Equality Class</t>
  </si>
  <si>
    <t>Count</t>
  </si>
  <si>
    <r>
      <rPr>
        <b/>
        <sz val="14"/>
        <color rgb="FF2F5597"/>
        <rFont val="Calibri"/>
        <family val="2"/>
      </rPr>
      <t>Project Notes</t>
    </r>
    <r>
      <rPr>
        <sz val="12"/>
        <rFont val="Calibri"/>
        <family val="2"/>
      </rPr>
      <t xml:space="preserve">
This task involved working with employee compensation data to classify Equality Scores into categories.
- Column D (Equality Class) was created using the formula:
  =IF(ABS(C2)&lt;=10, "Fair", IF(ABS(C2)&lt;=20, "Unfair", "Highly Discriminative"))
- Conditional formatting was applied to visually distinguish the categories:
  - Fair – Blue
  - Unfair – Orange
  - Highly Discriminative – Red
- The dataset was formatted as an Excel Table for consistency and easier formatting.
- A legend was included to explain the color codes.
- A Pivot Table and Pivot Chart were created to show the count of records in each Equality Class category (Fair, Unfair, Highly Discriminative).
- In addition to completing the task, a few formatting and visual elements were included to improve clarity and presentation.
- </t>
    </r>
    <r>
      <rPr>
        <b/>
        <sz val="12"/>
        <rFont val="Calibri"/>
        <family val="2"/>
      </rPr>
      <t>Insight:</t>
    </r>
    <r>
      <rPr>
        <sz val="12"/>
        <rFont val="Calibri"/>
        <family val="2"/>
      </rPr>
      <t xml:space="preserve"> The chart shows that most records fall into the Fair category, while a significant portion are still classified as Unfair or Highly Discriminative, indicating areas where gender pay equality may need further attention.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</si>
</sst>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sz val="12"/>
      <name val="Calibri"/>
      <family val="2"/>
    </font>
    <font>
      <b/>
      <sz val="14"/>
      <color rgb="FF2F5597"/>
      <name val="Calibri"/>
      <family val="2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6" xfId="0" applyFill="1" applyBorder="1"/>
    <xf numFmtId="0" fontId="0" fillId="3" borderId="6" xfId="0" applyFill="1" applyBorder="1"/>
    <xf numFmtId="0" fontId="0" fillId="4" borderId="9" xfId="0" applyFill="1" applyBorder="1"/>
    <xf numFmtId="0" fontId="1" fillId="0" borderId="5" xfId="0" applyFont="1" applyBorder="1"/>
    <xf numFmtId="0" fontId="1" fillId="0" borderId="7" xfId="0" applyFont="1" applyBorder="1"/>
    <xf numFmtId="0" fontId="0" fillId="0" borderId="0" xfId="0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2" fillId="6" borderId="1" xfId="0" applyFont="1" applyFill="1" applyBorder="1" applyAlignment="1">
      <alignment wrapText="1"/>
    </xf>
  </cellXfs>
  <cellStyles count="1">
    <cellStyle name="Normal" xfId="0" builtinId="0"/>
  </cellStyles>
  <dxfs count="20"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2F2F2"/>
      <color rgb="FF2F55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[Equality Table - Completed.xlsx]Pivot 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Frequency of Equality Class Categories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Summary'!$A$4:$A$7</c:f>
              <c:strCache>
                <c:ptCount val="3"/>
                <c:pt idx="0">
                  <c:v>Fair</c:v>
                </c:pt>
                <c:pt idx="1">
                  <c:v>Unfair</c:v>
                </c:pt>
                <c:pt idx="2">
                  <c:v>Highly Discriminative</c:v>
                </c:pt>
              </c:strCache>
            </c:strRef>
          </c:cat>
          <c:val>
            <c:numRef>
              <c:f>'Pivot Summary'!$B$4:$B$7</c:f>
              <c:numCache>
                <c:formatCode>General</c:formatCode>
                <c:ptCount val="3"/>
                <c:pt idx="0">
                  <c:v>19</c:v>
                </c:pt>
                <c:pt idx="1">
                  <c:v>11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A-4208-839E-F21FF6B26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30240"/>
        <c:axId val="91336960"/>
      </c:barChart>
      <c:catAx>
        <c:axId val="9133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Equality</a:t>
                </a:r>
                <a:r>
                  <a:rPr lang="en-US" b="1" baseline="0"/>
                  <a:t> 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1336960"/>
        <c:crosses val="autoZero"/>
        <c:auto val="1"/>
        <c:lblAlgn val="ctr"/>
        <c:lblOffset val="100"/>
        <c:noMultiLvlLbl val="0"/>
      </c:catAx>
      <c:valAx>
        <c:axId val="91336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13302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</xdr:row>
      <xdr:rowOff>142875</xdr:rowOff>
    </xdr:from>
    <xdr:to>
      <xdr:col>10</xdr:col>
      <xdr:colOff>400050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89E8E-045C-BB43-FCCD-371943F54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upsy Peace" id="{1EE52549-5269-46D6-9BB7-C24CC8498A02}" userId="S::dupsy@oriade-clothier.com::cda5b5ac-5893-45bf-80e0-2a7cd8dc572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E-PC" refreshedDate="45849.501712847225" createdVersion="8" refreshedVersion="8" minRefreshableVersion="3" recordCount="37" xr:uid="{85A82A61-000E-4440-A9A8-54D09BB74208}">
  <cacheSource type="worksheet">
    <worksheetSource name="Table1"/>
  </cacheSource>
  <cacheFields count="4">
    <cacheField name="Factory" numFmtId="0">
      <sharedItems/>
    </cacheField>
    <cacheField name="Job Role" numFmtId="0">
      <sharedItems/>
    </cacheField>
    <cacheField name="Equality Score" numFmtId="0">
      <sharedItems containsSemiMixedTypes="0" containsString="0" containsNumber="1" containsInteger="1" minValue="-26" maxValue="4"/>
    </cacheField>
    <cacheField name="Equality class" numFmtId="0">
      <sharedItems count="3">
        <s v="Highly Discriminative"/>
        <s v="Unfair"/>
        <s v="F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Daikibo Factory Meiyo"/>
    <s v="C-Level"/>
    <n v="-25"/>
    <x v="0"/>
  </r>
  <r>
    <s v="Daikibo Factory Meiyo"/>
    <s v="VP"/>
    <n v="-26"/>
    <x v="0"/>
  </r>
  <r>
    <s v="Daikibo Factory Meiyo"/>
    <s v="Director"/>
    <n v="-19"/>
    <x v="1"/>
  </r>
  <r>
    <s v="Daikibo Factory Meiyo"/>
    <s v="Sr. Manager"/>
    <n v="-15"/>
    <x v="1"/>
  </r>
  <r>
    <s v="Daikibo Factory Meiyo"/>
    <s v="Manager"/>
    <n v="-14"/>
    <x v="1"/>
  </r>
  <r>
    <s v="Daikibo Factory Meiyo"/>
    <s v="Jr. Manager"/>
    <n v="-20"/>
    <x v="1"/>
  </r>
  <r>
    <s v="Daikibo Factory Meiyo"/>
    <s v="Sr. Engineer"/>
    <n v="-5"/>
    <x v="2"/>
  </r>
  <r>
    <s v="Daikibo Factory Meiyo"/>
    <s v="Engineer"/>
    <n v="-8"/>
    <x v="2"/>
  </r>
  <r>
    <s v="Daikibo Factory Meiyo"/>
    <s v="Jr. Engineer"/>
    <n v="3"/>
    <x v="2"/>
  </r>
  <r>
    <s v="Daikibo Factory Meiyo"/>
    <s v="Operational Support"/>
    <n v="-22"/>
    <x v="0"/>
  </r>
  <r>
    <s v="Daikibo Factory Meiyo"/>
    <s v="Machine Operator"/>
    <n v="-7"/>
    <x v="2"/>
  </r>
  <r>
    <s v="Daikibo Factory Seiko"/>
    <s v="VP"/>
    <n v="-19"/>
    <x v="1"/>
  </r>
  <r>
    <s v="Daikibo Factory Seiko"/>
    <s v="Director"/>
    <n v="-10"/>
    <x v="2"/>
  </r>
  <r>
    <s v="Daikibo Factory Seiko"/>
    <s v="Sr. Manager"/>
    <n v="-21"/>
    <x v="0"/>
  </r>
  <r>
    <s v="Daikibo Factory Seiko"/>
    <s v="Manager"/>
    <n v="-21"/>
    <x v="0"/>
  </r>
  <r>
    <s v="Daikibo Factory Seiko"/>
    <s v="Jr. Manager"/>
    <n v="-24"/>
    <x v="0"/>
  </r>
  <r>
    <s v="Daikibo Factory Seiko"/>
    <s v="Sr. Engineer"/>
    <n v="-4"/>
    <x v="2"/>
  </r>
  <r>
    <s v="Daikibo Factory Seiko"/>
    <s v="Engineer"/>
    <n v="-7"/>
    <x v="2"/>
  </r>
  <r>
    <s v="Daikibo Factory Seiko"/>
    <s v="Jr. Engineer"/>
    <n v="4"/>
    <x v="2"/>
  </r>
  <r>
    <s v="Daikibo Factory Seiko"/>
    <s v="Operational Support"/>
    <n v="-19"/>
    <x v="1"/>
  </r>
  <r>
    <s v="Daikibo Factory Seiko"/>
    <s v="Machine Operator"/>
    <n v="-5"/>
    <x v="2"/>
  </r>
  <r>
    <s v="Daikibo Berlin"/>
    <s v="Sr. Manager"/>
    <n v="-15"/>
    <x v="1"/>
  </r>
  <r>
    <s v="Daikibo Berlin"/>
    <s v="Manager"/>
    <n v="-16"/>
    <x v="1"/>
  </r>
  <r>
    <s v="Daikibo Berlin"/>
    <s v="Jr. Manager"/>
    <n v="-17"/>
    <x v="1"/>
  </r>
  <r>
    <s v="Daikibo Berlin"/>
    <s v="Sr. Engineer"/>
    <n v="4"/>
    <x v="2"/>
  </r>
  <r>
    <s v="Daikibo Berlin"/>
    <s v="Engineer"/>
    <n v="2"/>
    <x v="2"/>
  </r>
  <r>
    <s v="Daikibo Berlin"/>
    <s v="Jr. Engineer"/>
    <n v="4"/>
    <x v="2"/>
  </r>
  <r>
    <s v="Daikibo Berlin"/>
    <s v="Operational Support"/>
    <n v="0"/>
    <x v="2"/>
  </r>
  <r>
    <s v="Daikibo Berlin"/>
    <s v="Machine Operator"/>
    <n v="-6"/>
    <x v="2"/>
  </r>
  <r>
    <s v="Daikibo Shenzhen"/>
    <s v="Sr. Manager"/>
    <n v="-21"/>
    <x v="0"/>
  </r>
  <r>
    <s v="Daikibo Shenzhen"/>
    <s v="Manager"/>
    <n v="-19"/>
    <x v="1"/>
  </r>
  <r>
    <s v="Daikibo Shenzhen"/>
    <s v="Jr. Manager"/>
    <n v="-20"/>
    <x v="1"/>
  </r>
  <r>
    <s v="Daikibo Shenzhen"/>
    <s v="Sr. Engineer"/>
    <n v="-5"/>
    <x v="2"/>
  </r>
  <r>
    <s v="Daikibo Shenzhen"/>
    <s v="Engineer"/>
    <n v="-4"/>
    <x v="2"/>
  </r>
  <r>
    <s v="Daikibo Shenzhen"/>
    <s v="Jr. Engineer"/>
    <n v="3"/>
    <x v="2"/>
  </r>
  <r>
    <s v="Daikibo Shenzhen"/>
    <s v="Operational Support"/>
    <n v="-7"/>
    <x v="2"/>
  </r>
  <r>
    <s v="Daikibo Shenzhen"/>
    <s v="Machine Operator"/>
    <n v="-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29F52-D33D-4EBD-B5DF-0C321176CD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Equality Class">
  <location ref="A3:B7" firstHeaderRow="1" firstDataRow="1" firstDataCol="1"/>
  <pivotFields count="4">
    <pivotField showAll="0"/>
    <pivotField showAll="0"/>
    <pivotField showAll="0"/>
    <pivotField axis="axisRow" dataField="1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" fld="3" subtotal="count" baseField="3" baseItem="0"/>
  </dataFields>
  <formats count="3">
    <format dxfId="5">
      <pivotArea field="3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grandRow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5AC88-C8A9-4BD2-AF68-BA8229013B11}" name="Table1" displayName="Table1" ref="A1:D38" totalsRowShown="0" headerRowDxfId="19" headerRowBorderDxfId="18" tableBorderDxfId="17" totalsRowBorderDxfId="16">
  <autoFilter ref="A1:D38" xr:uid="{2655AC88-C8A9-4BD2-AF68-BA8229013B11}"/>
  <tableColumns count="4">
    <tableColumn id="1" xr3:uid="{0A118F57-F0D7-4F10-8C7A-2863FE5E013F}" name="Factory" dataDxfId="15"/>
    <tableColumn id="2" xr3:uid="{4B718005-F908-48D1-9919-9875BC399B88}" name="Job Role" dataDxfId="14"/>
    <tableColumn id="3" xr3:uid="{74BBFF9C-FCD1-42D1-A87A-98E13C89D7B0}" name="Equality Score" dataDxfId="13"/>
    <tableColumn id="4" xr3:uid="{1AC39EAA-928C-48DD-BC31-A006DF7552A5}" name="Equality class" dataDxfId="12">
      <calculatedColumnFormula>IF(ABS(C2)&lt;=10, "Fair", IF(ABS(C2)&lt;=20, "Unfair", "Highly Discriminative"))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020C31-F073-4826-B2BB-A97BDA1C962F}" name="Table2" displayName="Table2" ref="G1:H4" totalsRowShown="0" headerRowDxfId="11" headerRowBorderDxfId="10" tableBorderDxfId="9" totalsRowBorderDxfId="8">
  <autoFilter ref="G1:H4" xr:uid="{9C020C31-F073-4826-B2BB-A97BDA1C962F}"/>
  <tableColumns count="2">
    <tableColumn id="1" xr3:uid="{42A5C713-E690-4281-88CB-05C462DD7996}" name="LEGEND" dataDxfId="7"/>
    <tableColumn id="2" xr3:uid="{4434B2E0-CF8F-47A4-B176-1BCDFAC6E3EA}" name="COLOR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7-11T10:35:31.37" personId="{1EE52549-5269-46D6-9BB7-C24CC8498A02}" id="{1BD18259-64E8-4F05-8D4E-23149CEDE192}">
    <text xml:space="preserve">Conditional formatting added for better visual analysis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zoomScaleNormal="100" workbookViewId="0">
      <selection activeCell="G13" sqref="G13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6.28515625" customWidth="1"/>
    <col min="4" max="4" width="23" customWidth="1"/>
    <col min="7" max="7" width="20.42578125" bestFit="1" customWidth="1"/>
    <col min="8" max="8" width="17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3" t="s">
        <v>3</v>
      </c>
      <c r="G1" s="1" t="s">
        <v>19</v>
      </c>
      <c r="H1" s="3" t="s">
        <v>20</v>
      </c>
    </row>
    <row r="2" spans="1:8" x14ac:dyDescent="0.2">
      <c r="A2" s="4" t="s">
        <v>4</v>
      </c>
      <c r="B2" s="5" t="s">
        <v>5</v>
      </c>
      <c r="C2" s="5">
        <v>-25</v>
      </c>
      <c r="D2" s="6" t="str">
        <f t="shared" ref="D2:D38" si="0">IF(ABS(C2)&lt;=10, "Fair", IF(ABS(C2)&lt;=20, "Unfair", "Highly Discriminative"))</f>
        <v>Highly Discriminative</v>
      </c>
      <c r="G2" s="13" t="s">
        <v>21</v>
      </c>
      <c r="H2" s="10"/>
    </row>
    <row r="3" spans="1:8" x14ac:dyDescent="0.2">
      <c r="A3" s="4" t="s">
        <v>4</v>
      </c>
      <c r="B3" s="5" t="s">
        <v>6</v>
      </c>
      <c r="C3" s="5">
        <v>-26</v>
      </c>
      <c r="D3" s="6" t="str">
        <f t="shared" si="0"/>
        <v>Highly Discriminative</v>
      </c>
      <c r="G3" s="13" t="s">
        <v>22</v>
      </c>
      <c r="H3" s="11"/>
    </row>
    <row r="4" spans="1:8" x14ac:dyDescent="0.2">
      <c r="A4" s="4" t="s">
        <v>4</v>
      </c>
      <c r="B4" s="5" t="s">
        <v>7</v>
      </c>
      <c r="C4" s="5">
        <v>-19</v>
      </c>
      <c r="D4" s="6" t="str">
        <f t="shared" si="0"/>
        <v>Unfair</v>
      </c>
      <c r="G4" s="14" t="s">
        <v>23</v>
      </c>
      <c r="H4" s="12"/>
    </row>
    <row r="5" spans="1:8" x14ac:dyDescent="0.2">
      <c r="A5" s="4" t="s">
        <v>4</v>
      </c>
      <c r="B5" s="5" t="s">
        <v>8</v>
      </c>
      <c r="C5" s="5">
        <v>-15</v>
      </c>
      <c r="D5" s="6" t="str">
        <f t="shared" si="0"/>
        <v>Unfair</v>
      </c>
    </row>
    <row r="6" spans="1:8" x14ac:dyDescent="0.2">
      <c r="A6" s="4" t="s">
        <v>4</v>
      </c>
      <c r="B6" s="5" t="s">
        <v>9</v>
      </c>
      <c r="C6" s="5">
        <v>-14</v>
      </c>
      <c r="D6" s="6" t="str">
        <f t="shared" si="0"/>
        <v>Unfair</v>
      </c>
    </row>
    <row r="7" spans="1:8" x14ac:dyDescent="0.2">
      <c r="A7" s="4" t="s">
        <v>4</v>
      </c>
      <c r="B7" s="5" t="s">
        <v>10</v>
      </c>
      <c r="C7" s="5">
        <v>-20</v>
      </c>
      <c r="D7" s="6" t="str">
        <f t="shared" si="0"/>
        <v>Unfair</v>
      </c>
    </row>
    <row r="8" spans="1:8" x14ac:dyDescent="0.2">
      <c r="A8" s="4" t="s">
        <v>4</v>
      </c>
      <c r="B8" s="5" t="s">
        <v>11</v>
      </c>
      <c r="C8" s="5">
        <v>-5</v>
      </c>
      <c r="D8" s="6" t="str">
        <f t="shared" si="0"/>
        <v>Fair</v>
      </c>
    </row>
    <row r="9" spans="1:8" x14ac:dyDescent="0.2">
      <c r="A9" s="4" t="s">
        <v>4</v>
      </c>
      <c r="B9" s="5" t="s">
        <v>12</v>
      </c>
      <c r="C9" s="5">
        <v>-8</v>
      </c>
      <c r="D9" s="6" t="str">
        <f t="shared" si="0"/>
        <v>Fair</v>
      </c>
    </row>
    <row r="10" spans="1:8" x14ac:dyDescent="0.2">
      <c r="A10" s="4" t="s">
        <v>4</v>
      </c>
      <c r="B10" s="5" t="s">
        <v>13</v>
      </c>
      <c r="C10" s="5">
        <v>3</v>
      </c>
      <c r="D10" s="6" t="str">
        <f t="shared" si="0"/>
        <v>Fair</v>
      </c>
    </row>
    <row r="11" spans="1:8" x14ac:dyDescent="0.2">
      <c r="A11" s="4" t="s">
        <v>4</v>
      </c>
      <c r="B11" s="5" t="s">
        <v>14</v>
      </c>
      <c r="C11" s="5">
        <v>-22</v>
      </c>
      <c r="D11" s="6" t="str">
        <f t="shared" si="0"/>
        <v>Highly Discriminative</v>
      </c>
    </row>
    <row r="12" spans="1:8" x14ac:dyDescent="0.2">
      <c r="A12" s="4" t="s">
        <v>4</v>
      </c>
      <c r="B12" s="5" t="s">
        <v>15</v>
      </c>
      <c r="C12" s="5">
        <v>-7</v>
      </c>
      <c r="D12" s="6" t="str">
        <f t="shared" si="0"/>
        <v>Fair</v>
      </c>
    </row>
    <row r="13" spans="1:8" x14ac:dyDescent="0.2">
      <c r="A13" s="4" t="s">
        <v>16</v>
      </c>
      <c r="B13" s="5" t="s">
        <v>6</v>
      </c>
      <c r="C13" s="5">
        <v>-19</v>
      </c>
      <c r="D13" s="6" t="str">
        <f t="shared" si="0"/>
        <v>Unfair</v>
      </c>
    </row>
    <row r="14" spans="1:8" x14ac:dyDescent="0.2">
      <c r="A14" s="4" t="s">
        <v>16</v>
      </c>
      <c r="B14" s="5" t="s">
        <v>7</v>
      </c>
      <c r="C14" s="5">
        <v>-10</v>
      </c>
      <c r="D14" s="6" t="str">
        <f t="shared" si="0"/>
        <v>Fair</v>
      </c>
    </row>
    <row r="15" spans="1:8" x14ac:dyDescent="0.2">
      <c r="A15" s="4" t="s">
        <v>16</v>
      </c>
      <c r="B15" s="5" t="s">
        <v>8</v>
      </c>
      <c r="C15" s="5">
        <v>-21</v>
      </c>
      <c r="D15" s="6" t="str">
        <f t="shared" si="0"/>
        <v>Highly Discriminative</v>
      </c>
    </row>
    <row r="16" spans="1:8" x14ac:dyDescent="0.2">
      <c r="A16" s="4" t="s">
        <v>16</v>
      </c>
      <c r="B16" s="5" t="s">
        <v>9</v>
      </c>
      <c r="C16" s="5">
        <v>-21</v>
      </c>
      <c r="D16" s="6" t="str">
        <f t="shared" si="0"/>
        <v>Highly Discriminative</v>
      </c>
    </row>
    <row r="17" spans="1:4" x14ac:dyDescent="0.2">
      <c r="A17" s="4" t="s">
        <v>16</v>
      </c>
      <c r="B17" s="5" t="s">
        <v>10</v>
      </c>
      <c r="C17" s="5">
        <v>-24</v>
      </c>
      <c r="D17" s="6" t="str">
        <f t="shared" si="0"/>
        <v>Highly Discriminative</v>
      </c>
    </row>
    <row r="18" spans="1:4" x14ac:dyDescent="0.2">
      <c r="A18" s="4" t="s">
        <v>16</v>
      </c>
      <c r="B18" s="5" t="s">
        <v>11</v>
      </c>
      <c r="C18" s="5">
        <v>-4</v>
      </c>
      <c r="D18" s="6" t="str">
        <f t="shared" si="0"/>
        <v>Fair</v>
      </c>
    </row>
    <row r="19" spans="1:4" x14ac:dyDescent="0.2">
      <c r="A19" s="4" t="s">
        <v>16</v>
      </c>
      <c r="B19" s="5" t="s">
        <v>12</v>
      </c>
      <c r="C19" s="5">
        <v>-7</v>
      </c>
      <c r="D19" s="6" t="str">
        <f t="shared" si="0"/>
        <v>Fair</v>
      </c>
    </row>
    <row r="20" spans="1:4" x14ac:dyDescent="0.2">
      <c r="A20" s="4" t="s">
        <v>16</v>
      </c>
      <c r="B20" s="5" t="s">
        <v>13</v>
      </c>
      <c r="C20" s="5">
        <v>4</v>
      </c>
      <c r="D20" s="6" t="str">
        <f t="shared" si="0"/>
        <v>Fair</v>
      </c>
    </row>
    <row r="21" spans="1:4" x14ac:dyDescent="0.2">
      <c r="A21" s="4" t="s">
        <v>16</v>
      </c>
      <c r="B21" s="5" t="s">
        <v>14</v>
      </c>
      <c r="C21" s="5">
        <v>-19</v>
      </c>
      <c r="D21" s="6" t="str">
        <f t="shared" si="0"/>
        <v>Unfair</v>
      </c>
    </row>
    <row r="22" spans="1:4" x14ac:dyDescent="0.2">
      <c r="A22" s="4" t="s">
        <v>16</v>
      </c>
      <c r="B22" s="5" t="s">
        <v>15</v>
      </c>
      <c r="C22" s="5">
        <v>-5</v>
      </c>
      <c r="D22" s="6" t="str">
        <f t="shared" si="0"/>
        <v>Fair</v>
      </c>
    </row>
    <row r="23" spans="1:4" x14ac:dyDescent="0.2">
      <c r="A23" s="4" t="s">
        <v>17</v>
      </c>
      <c r="B23" s="5" t="s">
        <v>8</v>
      </c>
      <c r="C23" s="5">
        <v>-15</v>
      </c>
      <c r="D23" s="6" t="str">
        <f t="shared" si="0"/>
        <v>Unfair</v>
      </c>
    </row>
    <row r="24" spans="1:4" x14ac:dyDescent="0.2">
      <c r="A24" s="4" t="s">
        <v>17</v>
      </c>
      <c r="B24" s="5" t="s">
        <v>9</v>
      </c>
      <c r="C24" s="5">
        <v>-16</v>
      </c>
      <c r="D24" s="6" t="str">
        <f t="shared" si="0"/>
        <v>Unfair</v>
      </c>
    </row>
    <row r="25" spans="1:4" x14ac:dyDescent="0.2">
      <c r="A25" s="4" t="s">
        <v>17</v>
      </c>
      <c r="B25" s="5" t="s">
        <v>10</v>
      </c>
      <c r="C25" s="5">
        <v>-17</v>
      </c>
      <c r="D25" s="6" t="str">
        <f t="shared" si="0"/>
        <v>Unfair</v>
      </c>
    </row>
    <row r="26" spans="1:4" x14ac:dyDescent="0.2">
      <c r="A26" s="4" t="s">
        <v>17</v>
      </c>
      <c r="B26" s="5" t="s">
        <v>11</v>
      </c>
      <c r="C26" s="5">
        <v>4</v>
      </c>
      <c r="D26" s="6" t="str">
        <f t="shared" si="0"/>
        <v>Fair</v>
      </c>
    </row>
    <row r="27" spans="1:4" x14ac:dyDescent="0.2">
      <c r="A27" s="4" t="s">
        <v>17</v>
      </c>
      <c r="B27" s="5" t="s">
        <v>12</v>
      </c>
      <c r="C27" s="5">
        <v>2</v>
      </c>
      <c r="D27" s="6" t="str">
        <f t="shared" si="0"/>
        <v>Fair</v>
      </c>
    </row>
    <row r="28" spans="1:4" x14ac:dyDescent="0.2">
      <c r="A28" s="4" t="s">
        <v>17</v>
      </c>
      <c r="B28" s="5" t="s">
        <v>13</v>
      </c>
      <c r="C28" s="5">
        <v>4</v>
      </c>
      <c r="D28" s="6" t="str">
        <f t="shared" si="0"/>
        <v>Fair</v>
      </c>
    </row>
    <row r="29" spans="1:4" x14ac:dyDescent="0.2">
      <c r="A29" s="4" t="s">
        <v>17</v>
      </c>
      <c r="B29" s="5" t="s">
        <v>14</v>
      </c>
      <c r="C29" s="5">
        <v>0</v>
      </c>
      <c r="D29" s="6" t="str">
        <f t="shared" si="0"/>
        <v>Fair</v>
      </c>
    </row>
    <row r="30" spans="1:4" x14ac:dyDescent="0.2">
      <c r="A30" s="4" t="s">
        <v>17</v>
      </c>
      <c r="B30" s="5" t="s">
        <v>15</v>
      </c>
      <c r="C30" s="5">
        <v>-6</v>
      </c>
      <c r="D30" s="6" t="str">
        <f t="shared" si="0"/>
        <v>Fair</v>
      </c>
    </row>
    <row r="31" spans="1:4" x14ac:dyDescent="0.2">
      <c r="A31" s="4" t="s">
        <v>18</v>
      </c>
      <c r="B31" s="5" t="s">
        <v>8</v>
      </c>
      <c r="C31" s="5">
        <v>-21</v>
      </c>
      <c r="D31" s="6" t="str">
        <f t="shared" si="0"/>
        <v>Highly Discriminative</v>
      </c>
    </row>
    <row r="32" spans="1:4" x14ac:dyDescent="0.2">
      <c r="A32" s="4" t="s">
        <v>18</v>
      </c>
      <c r="B32" s="5" t="s">
        <v>9</v>
      </c>
      <c r="C32" s="5">
        <v>-19</v>
      </c>
      <c r="D32" s="6" t="str">
        <f t="shared" si="0"/>
        <v>Unfair</v>
      </c>
    </row>
    <row r="33" spans="1:4" x14ac:dyDescent="0.2">
      <c r="A33" s="4" t="s">
        <v>18</v>
      </c>
      <c r="B33" s="5" t="s">
        <v>10</v>
      </c>
      <c r="C33" s="5">
        <v>-20</v>
      </c>
      <c r="D33" s="6" t="str">
        <f t="shared" si="0"/>
        <v>Unfair</v>
      </c>
    </row>
    <row r="34" spans="1:4" x14ac:dyDescent="0.2">
      <c r="A34" s="4" t="s">
        <v>18</v>
      </c>
      <c r="B34" s="5" t="s">
        <v>11</v>
      </c>
      <c r="C34" s="5">
        <v>-5</v>
      </c>
      <c r="D34" s="6" t="str">
        <f t="shared" si="0"/>
        <v>Fair</v>
      </c>
    </row>
    <row r="35" spans="1:4" x14ac:dyDescent="0.2">
      <c r="A35" s="4" t="s">
        <v>18</v>
      </c>
      <c r="B35" s="5" t="s">
        <v>12</v>
      </c>
      <c r="C35" s="5">
        <v>-4</v>
      </c>
      <c r="D35" s="6" t="str">
        <f t="shared" si="0"/>
        <v>Fair</v>
      </c>
    </row>
    <row r="36" spans="1:4" x14ac:dyDescent="0.2">
      <c r="A36" s="4" t="s">
        <v>18</v>
      </c>
      <c r="B36" s="5" t="s">
        <v>13</v>
      </c>
      <c r="C36" s="5">
        <v>3</v>
      </c>
      <c r="D36" s="6" t="str">
        <f t="shared" si="0"/>
        <v>Fair</v>
      </c>
    </row>
    <row r="37" spans="1:4" x14ac:dyDescent="0.2">
      <c r="A37" s="4" t="s">
        <v>18</v>
      </c>
      <c r="B37" s="5" t="s">
        <v>14</v>
      </c>
      <c r="C37" s="5">
        <v>-7</v>
      </c>
      <c r="D37" s="6" t="str">
        <f t="shared" si="0"/>
        <v>Fair</v>
      </c>
    </row>
    <row r="38" spans="1:4" x14ac:dyDescent="0.2">
      <c r="A38" s="7" t="s">
        <v>18</v>
      </c>
      <c r="B38" s="8" t="s">
        <v>15</v>
      </c>
      <c r="C38" s="8">
        <v>-7</v>
      </c>
      <c r="D38" s="9" t="str">
        <f t="shared" si="0"/>
        <v>Fair</v>
      </c>
    </row>
  </sheetData>
  <conditionalFormatting sqref="D2:D38">
    <cfRule type="containsText" dxfId="2" priority="1" operator="containsText" text="Highly Discriminative">
      <formula>NOT(ISERROR(SEARCH("Highly Discriminative",D2)))</formula>
    </cfRule>
    <cfRule type="containsText" dxfId="1" priority="2" operator="containsText" text="Unfair">
      <formula>NOT(ISERROR(SEARCH("Unfair",D2)))</formula>
    </cfRule>
    <cfRule type="containsText" dxfId="0" priority="3" operator="containsText" text="Fair">
      <formula>NOT(ISERROR(SEARCH("Fair",D2)))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E436-563E-4DF2-8238-0E6A716BCE5D}">
  <dimension ref="A3:B7"/>
  <sheetViews>
    <sheetView workbookViewId="0">
      <selection activeCell="N14" sqref="N14"/>
    </sheetView>
  </sheetViews>
  <sheetFormatPr defaultRowHeight="12.75" x14ac:dyDescent="0.2"/>
  <cols>
    <col min="1" max="1" width="18.42578125" bestFit="1" customWidth="1"/>
    <col min="2" max="2" width="6.28515625" bestFit="1" customWidth="1"/>
  </cols>
  <sheetData>
    <row r="3" spans="1:2" x14ac:dyDescent="0.2">
      <c r="A3" s="16" t="s">
        <v>25</v>
      </c>
      <c r="B3" s="16" t="s">
        <v>26</v>
      </c>
    </row>
    <row r="4" spans="1:2" x14ac:dyDescent="0.2">
      <c r="A4" s="15" t="s">
        <v>21</v>
      </c>
      <c r="B4">
        <v>19</v>
      </c>
    </row>
    <row r="5" spans="1:2" x14ac:dyDescent="0.2">
      <c r="A5" s="15" t="s">
        <v>22</v>
      </c>
      <c r="B5">
        <v>11</v>
      </c>
    </row>
    <row r="6" spans="1:2" x14ac:dyDescent="0.2">
      <c r="A6" s="15" t="s">
        <v>23</v>
      </c>
      <c r="B6">
        <v>7</v>
      </c>
    </row>
    <row r="7" spans="1:2" x14ac:dyDescent="0.2">
      <c r="A7" s="17" t="s">
        <v>24</v>
      </c>
      <c r="B7" s="16">
        <v>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7BFE-7347-4B94-8D63-8A29BCE1ADAC}">
  <dimension ref="A1"/>
  <sheetViews>
    <sheetView showGridLines="0" tabSelected="1" workbookViewId="0">
      <selection activeCell="A9" sqref="A9"/>
    </sheetView>
  </sheetViews>
  <sheetFormatPr defaultRowHeight="12.75" x14ac:dyDescent="0.2"/>
  <cols>
    <col min="1" max="1" width="71.5703125" customWidth="1"/>
  </cols>
  <sheetData>
    <row r="1" spans="1:1" ht="365.25" x14ac:dyDescent="0.25">
      <c r="A1" s="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Equality Table-Completed</vt:lpstr>
      <vt:lpstr>Pivot Summary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Dupsy Peace</cp:lastModifiedBy>
  <cp:revision>3</cp:revision>
  <dcterms:created xsi:type="dcterms:W3CDTF">2021-06-27T18:07:09Z</dcterms:created>
  <dcterms:modified xsi:type="dcterms:W3CDTF">2025-07-11T12:34:29Z</dcterms:modified>
  <dc:language>en-US</dc:language>
</cp:coreProperties>
</file>